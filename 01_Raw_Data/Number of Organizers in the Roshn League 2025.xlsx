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qahtani\Oracle Content\DMO\إدارة اتاحة وحماية البيانات الشخصية\اتاحة البيانات\البيانات المفتوحة\خطة سدايا لنشر البيانات المفتوحة\2025\البيانات التي تم نشرها\الربع الرابع\مباريات دوري روشن 2025\"/>
    </mc:Choice>
  </mc:AlternateContent>
  <xr:revisionPtr revIDLastSave="0" documentId="8_{81167BAD-EEB3-45B0-80A8-37DE6EF7CE6F}" xr6:coauthVersionLast="47" xr6:coauthVersionMax="47" xr10:uidLastSave="{00000000-0000-0000-0000-000000000000}"/>
  <bookViews>
    <workbookView xWindow="-110" yWindow="-110" windowWidth="19420" windowHeight="10300" xr2:uid="{5B013F78-D22F-44FE-8D2F-076B4F01137C}"/>
  </bookViews>
  <sheets>
    <sheet name="دوري روشن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5" i="2" l="1"/>
  <c r="H66" i="2"/>
  <c r="H57" i="2"/>
  <c r="H48" i="2"/>
  <c r="H39" i="2"/>
  <c r="H30" i="2"/>
  <c r="H21" i="2"/>
  <c r="H12" i="2"/>
  <c r="H3" i="2"/>
</calcChain>
</file>

<file path=xl/sharedStrings.xml><?xml version="1.0" encoding="utf-8"?>
<sst xmlns="http://schemas.openxmlformats.org/spreadsheetml/2006/main" count="327" uniqueCount="174">
  <si>
    <t>م</t>
  </si>
  <si>
    <t>(اسم المنشأة)</t>
  </si>
  <si>
    <t>التاريخ</t>
  </si>
  <si>
    <t>الجولة</t>
  </si>
  <si>
    <t xml:space="preserve">المسابقة أو الفعالية </t>
  </si>
  <si>
    <t>الفريقين</t>
  </si>
  <si>
    <t>عدد المنظمين</t>
  </si>
  <si>
    <t>اجمالي عدد المنظمين</t>
  </si>
  <si>
    <t>ملعب نادي ضمك ( خميس مشيط )</t>
  </si>
  <si>
    <t>28/8/2025</t>
  </si>
  <si>
    <t>الأولى</t>
  </si>
  <si>
    <t xml:space="preserve">RSL  </t>
  </si>
  <si>
    <t>ضمك × الحزم</t>
  </si>
  <si>
    <t>ملعب ايجو ( الدمام )</t>
  </si>
  <si>
    <t xml:space="preserve">الاتفاق × الخلود </t>
  </si>
  <si>
    <t>ملعب الإنماء بمدينة الملك عبد الله الرياضية ( جدة )</t>
  </si>
  <si>
    <t xml:space="preserve">الأهلي × نيوم </t>
  </si>
  <si>
    <t>ملعب المملكة أرينا  ( الرياض )</t>
  </si>
  <si>
    <t>29/8/2025</t>
  </si>
  <si>
    <t xml:space="preserve">الهلال × الرياض </t>
  </si>
  <si>
    <t xml:space="preserve">ملعب نادي الشباب ( الرياض ) </t>
  </si>
  <si>
    <t xml:space="preserve">الشباب × الخليج </t>
  </si>
  <si>
    <t xml:space="preserve">ملعب مدينة الملك عبد الله الرياضية ( بريدة) </t>
  </si>
  <si>
    <t xml:space="preserve">التعاون × النصر </t>
  </si>
  <si>
    <t xml:space="preserve">ملعب نادي الفتح ( الاحساء ) </t>
  </si>
  <si>
    <t>30/ 8/ 2025</t>
  </si>
  <si>
    <t xml:space="preserve">الفتح × الفيحاء </t>
  </si>
  <si>
    <t>ملعب مدينة الأمير هذلول بن عبد العزيز الرياضية ( نجران )</t>
  </si>
  <si>
    <t>30/8/2025</t>
  </si>
  <si>
    <t xml:space="preserve">الأخدود × الاتحاد </t>
  </si>
  <si>
    <t>ملعب أستاد الأمير محمد بن فهد ( الدمام )</t>
  </si>
  <si>
    <t xml:space="preserve">القادسية × النجمة </t>
  </si>
  <si>
    <t>الثانية</t>
  </si>
  <si>
    <t xml:space="preserve">الاتفا ق × الأهلي </t>
  </si>
  <si>
    <t xml:space="preserve">الشباب  × الحزم </t>
  </si>
  <si>
    <t>ملعب الأنماء بمدينة الملك عبد الله الرياضية ( جدة )</t>
  </si>
  <si>
    <t xml:space="preserve">الاتحاد × الفتح </t>
  </si>
  <si>
    <t>13/9/2025</t>
  </si>
  <si>
    <t xml:space="preserve">الخليج × الفيحاء </t>
  </si>
  <si>
    <t xml:space="preserve">الأخدود × التعاون </t>
  </si>
  <si>
    <t xml:space="preserve">الهلال × القادسية </t>
  </si>
  <si>
    <t>14/9/2025</t>
  </si>
  <si>
    <t xml:space="preserve">الرياض × النجمة </t>
  </si>
  <si>
    <t xml:space="preserve">ضمك × نيوم </t>
  </si>
  <si>
    <t xml:space="preserve">ملعب الأول بارك ( الرياض </t>
  </si>
  <si>
    <t>النصر × الخلود</t>
  </si>
  <si>
    <t>ملعب  نادي الحزم</t>
  </si>
  <si>
    <t>18/9/2025</t>
  </si>
  <si>
    <t>الثالثة</t>
  </si>
  <si>
    <t>الخلود × ضمك</t>
  </si>
  <si>
    <t>ملعب نادي التعاون</t>
  </si>
  <si>
    <t>التعاون × الاتفاق</t>
  </si>
  <si>
    <t>ملعب أستاد مدينة الملك خالد الرياضية بتبوك</t>
  </si>
  <si>
    <t>نيوم × الأخدود</t>
  </si>
  <si>
    <t xml:space="preserve">ملعب أستاد الأمير محمد بن فهد </t>
  </si>
  <si>
    <t>19/9/2025</t>
  </si>
  <si>
    <t>القادسية × الخليج</t>
  </si>
  <si>
    <t>ملعب مدينة المجمعة الرياضية</t>
  </si>
  <si>
    <t>الفيحاء × الشباب</t>
  </si>
  <si>
    <t>ملعب  الأنماء بمدينة الملك عبد الله الرياضية</t>
  </si>
  <si>
    <t>الأهلي × الهلال</t>
  </si>
  <si>
    <t>ملعب نادي  الحزم</t>
  </si>
  <si>
    <t>20/9/2025</t>
  </si>
  <si>
    <t>الحزم × الفتح</t>
  </si>
  <si>
    <t>ملعب  أستاد مدينة الملك عبد الله ببريدة</t>
  </si>
  <si>
    <t>النجمة × الاتحاد</t>
  </si>
  <si>
    <t xml:space="preserve">ملعب الأول بارك </t>
  </si>
  <si>
    <t>النصر × الرياض</t>
  </si>
  <si>
    <t>ملعب استاد الأمير محمد بن فهد</t>
  </si>
  <si>
    <t>25/9/2025</t>
  </si>
  <si>
    <t>الرابعة</t>
  </si>
  <si>
    <t>الخليج × التعاون</t>
  </si>
  <si>
    <t>معب نادي الشباب</t>
  </si>
  <si>
    <t>الشباب ×الخلود</t>
  </si>
  <si>
    <t xml:space="preserve">ملعب  المملكة أرينا </t>
  </si>
  <si>
    <t>الهلال × الأخدود</t>
  </si>
  <si>
    <t>ملعب أستاد مدينة الملك عبد الله الرياضية ببريدة</t>
  </si>
  <si>
    <t>26/9/2025</t>
  </si>
  <si>
    <t xml:space="preserve">الحزم × الأهلي </t>
  </si>
  <si>
    <t>ملعب نادي ضمك</t>
  </si>
  <si>
    <t>ضمك × الاتفاق</t>
  </si>
  <si>
    <t xml:space="preserve">ملعب الأنماء بمدينة الملك عبد الله الرياضية </t>
  </si>
  <si>
    <t xml:space="preserve">الاتحاد × النصر </t>
  </si>
  <si>
    <t xml:space="preserve">ملعب نادي الشباب </t>
  </si>
  <si>
    <t>27/9/2025</t>
  </si>
  <si>
    <t>الرياض × نيوم</t>
  </si>
  <si>
    <t>ملعب أستاد مدينة الملك عبد الرياضية ببريدة</t>
  </si>
  <si>
    <t>النجمة × الفيحاء</t>
  </si>
  <si>
    <t>ملعب ميدان تمويل الأولى ( الاحساء )</t>
  </si>
  <si>
    <t>الفتح × القادسية</t>
  </si>
  <si>
    <t>17/10/2025</t>
  </si>
  <si>
    <t>الخامسة</t>
  </si>
  <si>
    <t>الفيحاء × الاتحاد</t>
  </si>
  <si>
    <t xml:space="preserve">الخلود × النجمة </t>
  </si>
  <si>
    <t xml:space="preserve">الأهلي × الشباب </t>
  </si>
  <si>
    <t>18/10/2025</t>
  </si>
  <si>
    <t>الأتفاق × الهلال</t>
  </si>
  <si>
    <t xml:space="preserve">الأخدود × الحزم </t>
  </si>
  <si>
    <t>ملعب الأول بارك</t>
  </si>
  <si>
    <t>النصر × الفتح</t>
  </si>
  <si>
    <t>ملعب أستاد الأمير محمدبن فهد</t>
  </si>
  <si>
    <t>19/10/2025</t>
  </si>
  <si>
    <t>الخليج × الرياض</t>
  </si>
  <si>
    <t>التعاون × ضمك</t>
  </si>
  <si>
    <t>ملعب  مدينة الملك خالد الرياضية ( تبوك )</t>
  </si>
  <si>
    <t>نيوم × القادسية</t>
  </si>
  <si>
    <t xml:space="preserve">ملعب  نادي SHG </t>
  </si>
  <si>
    <t>23/10/2025</t>
  </si>
  <si>
    <t>السادسة</t>
  </si>
  <si>
    <t>الرياض × الخلود</t>
  </si>
  <si>
    <t>الفيحاء × التعاون</t>
  </si>
  <si>
    <t xml:space="preserve">النجمة × الأهلي </t>
  </si>
  <si>
    <t>ملعب ميدان تمويل  الأولى ( الاحساء )</t>
  </si>
  <si>
    <t>24/10/2025</t>
  </si>
  <si>
    <t xml:space="preserve">الفتح × الأتفاق </t>
  </si>
  <si>
    <t>ملعب مدينة الملك خالد الرياضية ( تبوك )</t>
  </si>
  <si>
    <t xml:space="preserve">نيوم × الخليج </t>
  </si>
  <si>
    <t xml:space="preserve">الاتحاد × الهلال </t>
  </si>
  <si>
    <t>25/10/2025</t>
  </si>
  <si>
    <t xml:space="preserve">القادسية × الأخدود </t>
  </si>
  <si>
    <t xml:space="preserve">ملعب نادي SHG </t>
  </si>
  <si>
    <t xml:space="preserve">الشباب × ضمك </t>
  </si>
  <si>
    <t xml:space="preserve">الحزم × النصر </t>
  </si>
  <si>
    <t>ملعب مدينة الأمير سلطان بن عبد العزيز الرياضية ( ابها)</t>
  </si>
  <si>
    <t>30/10/2025</t>
  </si>
  <si>
    <t>السابعة</t>
  </si>
  <si>
    <t>ضمك × الفتح</t>
  </si>
  <si>
    <t>ملعب مدينة الأمير عبد الله الفيصل الرياضية ( جدة )</t>
  </si>
  <si>
    <t>30/10/2026</t>
  </si>
  <si>
    <t>الأهلي × الرياض</t>
  </si>
  <si>
    <t>30/10/2027</t>
  </si>
  <si>
    <t>الخلود × نيوم</t>
  </si>
  <si>
    <t>ملعب مدينة الأمير هذول بن عبد العزيز الرياضية ( نجران )</t>
  </si>
  <si>
    <t>31/10/2025</t>
  </si>
  <si>
    <t xml:space="preserve">الأخدود × النجمة </t>
  </si>
  <si>
    <t>31/10/2026</t>
  </si>
  <si>
    <t xml:space="preserve">الهلال × الشباب </t>
  </si>
  <si>
    <t>31/10/2027</t>
  </si>
  <si>
    <t xml:space="preserve">الأتفاق × الحزم </t>
  </si>
  <si>
    <t xml:space="preserve">التعاون × القادسية </t>
  </si>
  <si>
    <t xml:space="preserve">الخليج × الاتحاد </t>
  </si>
  <si>
    <t>ملعب الأول بارك ( الرياض )</t>
  </si>
  <si>
    <t>النصر × الفيحاء</t>
  </si>
  <si>
    <t>الثامنة</t>
  </si>
  <si>
    <t xml:space="preserve">الحزم × الخليج </t>
  </si>
  <si>
    <t>ملعب  استاد الأمير محمد بن فهد ( الدمام )</t>
  </si>
  <si>
    <t xml:space="preserve">القادسية × الخلود </t>
  </si>
  <si>
    <t>ملعب SHG ( الرياض )</t>
  </si>
  <si>
    <t xml:space="preserve">الرياض × ضمك </t>
  </si>
  <si>
    <t xml:space="preserve">الفيحاء × الأخدود </t>
  </si>
  <si>
    <t>ملعب تمويل الأولى ( الأحساء )</t>
  </si>
  <si>
    <t xml:space="preserve">الفتح × التعاون </t>
  </si>
  <si>
    <t xml:space="preserve">النجمة × الهلال </t>
  </si>
  <si>
    <t xml:space="preserve">نيوم × النصر </t>
  </si>
  <si>
    <t xml:space="preserve">الشباب × الأتفاق </t>
  </si>
  <si>
    <t xml:space="preserve">الاتحاد × الأهلي </t>
  </si>
  <si>
    <t>21/11/2025</t>
  </si>
  <si>
    <t>التاسعة</t>
  </si>
  <si>
    <t>الاتحاد × الرياض</t>
  </si>
  <si>
    <t>ملعب نادي الحزم  ( الرس )</t>
  </si>
  <si>
    <t>21/11/2026</t>
  </si>
  <si>
    <t xml:space="preserve">الخلود × الحزم </t>
  </si>
  <si>
    <t>21/11/2027</t>
  </si>
  <si>
    <t xml:space="preserve">الأهلي × القادسية </t>
  </si>
  <si>
    <t>22/11/2025</t>
  </si>
  <si>
    <t xml:space="preserve">ضمك × النجمة </t>
  </si>
  <si>
    <t xml:space="preserve">الأتفاق × الفيحاء </t>
  </si>
  <si>
    <t xml:space="preserve">الهلال × الفتح </t>
  </si>
  <si>
    <t>23/11/2025</t>
  </si>
  <si>
    <t xml:space="preserve">الأخدود × الشباب </t>
  </si>
  <si>
    <t xml:space="preserve">النصر × الخليج </t>
  </si>
  <si>
    <t>ملعب نادي التعاون ( بريدة )</t>
  </si>
  <si>
    <t>التعاون × نيوم</t>
  </si>
  <si>
    <t xml:space="preserve">إحصائيات دوري روشن السعودي لموسم 2025 الرياضي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</si>
</sst>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1"/>
      <name val="Sakkal Majalla"/>
    </font>
    <font>
      <b/>
      <sz val="18"/>
      <color theme="1"/>
      <name val="Calibri"/>
      <family val="2"/>
      <scheme val="minor"/>
    </font>
    <font>
      <b/>
      <sz val="18"/>
      <color theme="1"/>
      <name val="Sakkal Majalla"/>
    </font>
    <font>
      <b/>
      <sz val="14"/>
      <color theme="1"/>
      <name val="Frutiger LT Arabic 55 Roman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4" fillId="3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14" fontId="4" fillId="2" borderId="4" xfId="0" applyNumberFormat="1" applyFont="1" applyFill="1" applyBorder="1" applyAlignment="1">
      <alignment horizontal="center"/>
    </xf>
    <xf numFmtId="14" fontId="4" fillId="3" borderId="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14" fontId="4" fillId="3" borderId="6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4" fontId="4" fillId="2" borderId="7" xfId="0" applyNumberFormat="1" applyFont="1" applyFill="1" applyBorder="1" applyAlignment="1">
      <alignment horizontal="center"/>
    </xf>
    <xf numFmtId="14" fontId="4" fillId="3" borderId="8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14" fontId="4" fillId="2" borderId="3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43" fontId="3" fillId="3" borderId="5" xfId="1" applyFont="1" applyFill="1" applyBorder="1" applyAlignment="1">
      <alignment horizontal="center" vertical="center"/>
    </xf>
    <xf numFmtId="43" fontId="3" fillId="3" borderId="6" xfId="1" applyFont="1" applyFill="1" applyBorder="1" applyAlignment="1">
      <alignment horizontal="center" vertical="center"/>
    </xf>
    <xf numFmtId="43" fontId="3" fillId="3" borderId="8" xfId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43" fontId="4" fillId="3" borderId="6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610262</xdr:colOff>
      <xdr:row>1</xdr:row>
      <xdr:rowOff>25400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A7F341AF-2BD1-45C4-9053-3171DAC7D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3197538" y="0"/>
          <a:ext cx="1219862" cy="635000"/>
        </a:xfrm>
        <a:prstGeom prst="rect">
          <a:avLst/>
        </a:prstGeom>
      </xdr:spPr>
    </xdr:pic>
    <xdr:clientData/>
  </xdr:twoCellAnchor>
  <xdr:twoCellAnchor editAs="oneCell">
    <xdr:from>
      <xdr:col>7</xdr:col>
      <xdr:colOff>347795</xdr:colOff>
      <xdr:row>0</xdr:row>
      <xdr:rowOff>0</xdr:rowOff>
    </xdr:from>
    <xdr:to>
      <xdr:col>7</xdr:col>
      <xdr:colOff>1567657</xdr:colOff>
      <xdr:row>1</xdr:row>
      <xdr:rowOff>33867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17F6F387-43A2-493A-AD78-01E9F9668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833676" y="0"/>
          <a:ext cx="1219862" cy="643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678B-DF30-4BD3-8A9D-D7D6FD0C2883}">
  <dimension ref="A1:H84"/>
  <sheetViews>
    <sheetView rightToLeft="1" tabSelected="1" zoomScale="75" workbookViewId="0">
      <selection activeCell="I4" sqref="I4"/>
    </sheetView>
  </sheetViews>
  <sheetFormatPr defaultRowHeight="14.5" x14ac:dyDescent="0.35"/>
  <cols>
    <col min="2" max="2" width="56.7265625" bestFit="1" customWidth="1"/>
    <col min="3" max="3" width="14" bestFit="1" customWidth="1"/>
    <col min="4" max="4" width="9.7265625" bestFit="1" customWidth="1"/>
    <col min="5" max="6" width="20.08984375" bestFit="1" customWidth="1"/>
    <col min="7" max="7" width="13.90625" bestFit="1" customWidth="1"/>
    <col min="8" max="8" width="22.7265625" bestFit="1" customWidth="1"/>
  </cols>
  <sheetData>
    <row r="1" spans="1:8" ht="48" customHeight="1" x14ac:dyDescent="0.35">
      <c r="A1" s="38" t="s">
        <v>173</v>
      </c>
      <c r="B1" s="38"/>
      <c r="C1" s="38"/>
      <c r="D1" s="38"/>
      <c r="E1" s="38"/>
      <c r="F1" s="38"/>
      <c r="G1" s="38"/>
      <c r="H1" s="38"/>
    </row>
    <row r="2" spans="1:8" ht="27.5" thickBot="1" x14ac:dyDescent="0.95">
      <c r="A2" s="32" t="s">
        <v>0</v>
      </c>
      <c r="B2" s="33" t="s">
        <v>1</v>
      </c>
      <c r="C2" s="34" t="s">
        <v>2</v>
      </c>
      <c r="D2" s="33" t="s">
        <v>3</v>
      </c>
      <c r="E2" s="35" t="s">
        <v>4</v>
      </c>
      <c r="F2" s="33" t="s">
        <v>5</v>
      </c>
      <c r="G2" s="36" t="s">
        <v>6</v>
      </c>
      <c r="H2" s="37" t="s">
        <v>7</v>
      </c>
    </row>
    <row r="3" spans="1:8" ht="33" thickTop="1" thickBot="1" x14ac:dyDescent="0.95">
      <c r="A3" s="2">
        <v>1</v>
      </c>
      <c r="B3" s="3" t="s">
        <v>8</v>
      </c>
      <c r="C3" s="4" t="s">
        <v>9</v>
      </c>
      <c r="D3" s="5" t="s">
        <v>10</v>
      </c>
      <c r="E3" s="6" t="s">
        <v>11</v>
      </c>
      <c r="F3" s="3" t="s">
        <v>12</v>
      </c>
      <c r="G3" s="6">
        <v>200</v>
      </c>
      <c r="H3" s="29">
        <f>SUM(G3:G11)</f>
        <v>5457</v>
      </c>
    </row>
    <row r="4" spans="1:8" ht="33" thickTop="1" thickBot="1" x14ac:dyDescent="0.95">
      <c r="A4" s="7">
        <v>2</v>
      </c>
      <c r="B4" s="8" t="s">
        <v>13</v>
      </c>
      <c r="C4" s="4" t="s">
        <v>9</v>
      </c>
      <c r="D4" s="9"/>
      <c r="E4" s="6" t="s">
        <v>11</v>
      </c>
      <c r="F4" s="10" t="s">
        <v>14</v>
      </c>
      <c r="G4" s="6">
        <v>247</v>
      </c>
      <c r="H4" s="30"/>
    </row>
    <row r="5" spans="1:8" ht="33" thickTop="1" thickBot="1" x14ac:dyDescent="0.95">
      <c r="A5" s="7">
        <v>3</v>
      </c>
      <c r="B5" s="10" t="s">
        <v>15</v>
      </c>
      <c r="C5" s="4" t="s">
        <v>9</v>
      </c>
      <c r="D5" s="9"/>
      <c r="E5" s="6" t="s">
        <v>11</v>
      </c>
      <c r="F5" s="10" t="s">
        <v>16</v>
      </c>
      <c r="G5" s="6">
        <v>1650</v>
      </c>
      <c r="H5" s="30"/>
    </row>
    <row r="6" spans="1:8" ht="33" thickTop="1" thickBot="1" x14ac:dyDescent="0.95">
      <c r="A6" s="7">
        <v>4</v>
      </c>
      <c r="B6" s="10" t="s">
        <v>17</v>
      </c>
      <c r="C6" s="11" t="s">
        <v>18</v>
      </c>
      <c r="D6" s="9"/>
      <c r="E6" s="6" t="s">
        <v>11</v>
      </c>
      <c r="F6" s="10" t="s">
        <v>19</v>
      </c>
      <c r="G6" s="6">
        <v>1050</v>
      </c>
      <c r="H6" s="30"/>
    </row>
    <row r="7" spans="1:8" ht="33" thickTop="1" thickBot="1" x14ac:dyDescent="0.95">
      <c r="A7" s="7">
        <v>5</v>
      </c>
      <c r="B7" s="10" t="s">
        <v>20</v>
      </c>
      <c r="C7" s="11" t="s">
        <v>18</v>
      </c>
      <c r="D7" s="9"/>
      <c r="E7" s="6" t="s">
        <v>11</v>
      </c>
      <c r="F7" s="10" t="s">
        <v>21</v>
      </c>
      <c r="G7" s="6">
        <v>390</v>
      </c>
      <c r="H7" s="30"/>
    </row>
    <row r="8" spans="1:8" ht="33" thickTop="1" thickBot="1" x14ac:dyDescent="0.95">
      <c r="A8" s="7">
        <v>6</v>
      </c>
      <c r="B8" s="10" t="s">
        <v>22</v>
      </c>
      <c r="C8" s="11" t="s">
        <v>18</v>
      </c>
      <c r="D8" s="9"/>
      <c r="E8" s="6" t="s">
        <v>11</v>
      </c>
      <c r="F8" s="10" t="s">
        <v>23</v>
      </c>
      <c r="G8" s="6">
        <v>450</v>
      </c>
      <c r="H8" s="30"/>
    </row>
    <row r="9" spans="1:8" ht="33" thickTop="1" thickBot="1" x14ac:dyDescent="0.95">
      <c r="A9" s="7">
        <v>7</v>
      </c>
      <c r="B9" s="10" t="s">
        <v>24</v>
      </c>
      <c r="C9" s="11" t="s">
        <v>25</v>
      </c>
      <c r="D9" s="9"/>
      <c r="E9" s="6" t="s">
        <v>11</v>
      </c>
      <c r="F9" s="10" t="s">
        <v>26</v>
      </c>
      <c r="G9" s="6">
        <v>450</v>
      </c>
      <c r="H9" s="30"/>
    </row>
    <row r="10" spans="1:8" ht="33" thickTop="1" thickBot="1" x14ac:dyDescent="0.95">
      <c r="A10" s="7">
        <v>8</v>
      </c>
      <c r="B10" s="10" t="s">
        <v>27</v>
      </c>
      <c r="C10" s="11" t="s">
        <v>28</v>
      </c>
      <c r="D10" s="9"/>
      <c r="E10" s="6" t="s">
        <v>11</v>
      </c>
      <c r="F10" s="10" t="s">
        <v>29</v>
      </c>
      <c r="G10" s="6">
        <v>620</v>
      </c>
      <c r="H10" s="30"/>
    </row>
    <row r="11" spans="1:8" ht="33" thickTop="1" thickBot="1" x14ac:dyDescent="0.95">
      <c r="A11" s="7">
        <v>9</v>
      </c>
      <c r="B11" s="12" t="s">
        <v>30</v>
      </c>
      <c r="C11" s="13" t="s">
        <v>28</v>
      </c>
      <c r="D11" s="14"/>
      <c r="E11" s="6" t="s">
        <v>11</v>
      </c>
      <c r="F11" s="12" t="s">
        <v>31</v>
      </c>
      <c r="G11" s="6">
        <v>400</v>
      </c>
      <c r="H11" s="31"/>
    </row>
    <row r="12" spans="1:8" ht="33" thickTop="1" thickBot="1" x14ac:dyDescent="0.95">
      <c r="A12" s="7">
        <v>10</v>
      </c>
      <c r="B12" s="15" t="s">
        <v>13</v>
      </c>
      <c r="C12" s="16">
        <v>46000</v>
      </c>
      <c r="D12" s="9" t="s">
        <v>32</v>
      </c>
      <c r="E12" s="6" t="s">
        <v>11</v>
      </c>
      <c r="F12" s="15" t="s">
        <v>33</v>
      </c>
      <c r="G12" s="6">
        <v>732</v>
      </c>
      <c r="H12" s="29">
        <f t="shared" ref="H12" si="0">SUM(G12:G20)</f>
        <v>5850</v>
      </c>
    </row>
    <row r="13" spans="1:8" ht="33" thickTop="1" thickBot="1" x14ac:dyDescent="0.95">
      <c r="A13" s="7">
        <v>11</v>
      </c>
      <c r="B13" s="10" t="s">
        <v>20</v>
      </c>
      <c r="C13" s="16">
        <v>46000</v>
      </c>
      <c r="D13" s="9"/>
      <c r="E13" s="6" t="s">
        <v>11</v>
      </c>
      <c r="F13" s="10" t="s">
        <v>34</v>
      </c>
      <c r="G13" s="6">
        <v>390</v>
      </c>
      <c r="H13" s="30"/>
    </row>
    <row r="14" spans="1:8" ht="33" thickTop="1" thickBot="1" x14ac:dyDescent="0.95">
      <c r="A14" s="7">
        <v>12</v>
      </c>
      <c r="B14" s="10" t="s">
        <v>35</v>
      </c>
      <c r="C14" s="16">
        <v>46000</v>
      </c>
      <c r="D14" s="9"/>
      <c r="E14" s="6" t="s">
        <v>11</v>
      </c>
      <c r="F14" s="10" t="s">
        <v>36</v>
      </c>
      <c r="G14" s="6">
        <v>1943</v>
      </c>
      <c r="H14" s="30"/>
    </row>
    <row r="15" spans="1:8" ht="33" thickTop="1" thickBot="1" x14ac:dyDescent="0.95">
      <c r="A15" s="7">
        <v>13</v>
      </c>
      <c r="B15" s="10" t="s">
        <v>30</v>
      </c>
      <c r="C15" s="11" t="s">
        <v>37</v>
      </c>
      <c r="D15" s="9"/>
      <c r="E15" s="6" t="s">
        <v>11</v>
      </c>
      <c r="F15" s="10" t="s">
        <v>38</v>
      </c>
      <c r="G15" s="6">
        <v>205</v>
      </c>
      <c r="H15" s="30"/>
    </row>
    <row r="16" spans="1:8" ht="33" thickTop="1" thickBot="1" x14ac:dyDescent="0.95">
      <c r="A16" s="7">
        <v>14</v>
      </c>
      <c r="B16" s="10" t="s">
        <v>27</v>
      </c>
      <c r="C16" s="11" t="s">
        <v>37</v>
      </c>
      <c r="D16" s="9"/>
      <c r="E16" s="6" t="s">
        <v>11</v>
      </c>
      <c r="F16" s="10" t="s">
        <v>39</v>
      </c>
      <c r="G16" s="6">
        <v>130</v>
      </c>
      <c r="H16" s="30"/>
    </row>
    <row r="17" spans="1:8" ht="33" thickTop="1" thickBot="1" x14ac:dyDescent="0.95">
      <c r="A17" s="7">
        <v>15</v>
      </c>
      <c r="B17" s="10" t="s">
        <v>17</v>
      </c>
      <c r="C17" s="11" t="s">
        <v>37</v>
      </c>
      <c r="D17" s="9"/>
      <c r="E17" s="6" t="s">
        <v>11</v>
      </c>
      <c r="F17" s="10" t="s">
        <v>40</v>
      </c>
      <c r="G17" s="6">
        <v>1050</v>
      </c>
      <c r="H17" s="30"/>
    </row>
    <row r="18" spans="1:8" ht="33" thickTop="1" thickBot="1" x14ac:dyDescent="0.95">
      <c r="A18" s="7">
        <v>16</v>
      </c>
      <c r="B18" s="10" t="s">
        <v>20</v>
      </c>
      <c r="C18" s="11" t="s">
        <v>41</v>
      </c>
      <c r="D18" s="9"/>
      <c r="E18" s="6" t="s">
        <v>11</v>
      </c>
      <c r="F18" s="10" t="s">
        <v>42</v>
      </c>
      <c r="G18" s="6">
        <v>390</v>
      </c>
      <c r="H18" s="30"/>
    </row>
    <row r="19" spans="1:8" ht="33" thickTop="1" thickBot="1" x14ac:dyDescent="0.95">
      <c r="A19" s="7">
        <v>17</v>
      </c>
      <c r="B19" s="10" t="s">
        <v>8</v>
      </c>
      <c r="C19" s="11" t="s">
        <v>41</v>
      </c>
      <c r="D19" s="9"/>
      <c r="E19" s="6" t="s">
        <v>11</v>
      </c>
      <c r="F19" s="10" t="s">
        <v>43</v>
      </c>
      <c r="G19" s="6">
        <v>300</v>
      </c>
      <c r="H19" s="30"/>
    </row>
    <row r="20" spans="1:8" ht="33" thickTop="1" thickBot="1" x14ac:dyDescent="0.95">
      <c r="A20" s="17">
        <v>18</v>
      </c>
      <c r="B20" s="10" t="s">
        <v>44</v>
      </c>
      <c r="C20" s="13" t="s">
        <v>41</v>
      </c>
      <c r="D20" s="14"/>
      <c r="E20" s="6" t="s">
        <v>11</v>
      </c>
      <c r="F20" s="12" t="s">
        <v>45</v>
      </c>
      <c r="G20" s="6">
        <v>710</v>
      </c>
      <c r="H20" s="31"/>
    </row>
    <row r="21" spans="1:8" ht="33" thickTop="1" thickBot="1" x14ac:dyDescent="0.95">
      <c r="A21" s="18">
        <v>19</v>
      </c>
      <c r="B21" s="10" t="s">
        <v>46</v>
      </c>
      <c r="C21" s="4" t="s">
        <v>47</v>
      </c>
      <c r="D21" s="5" t="s">
        <v>48</v>
      </c>
      <c r="E21" s="6" t="s">
        <v>11</v>
      </c>
      <c r="F21" s="3" t="s">
        <v>49</v>
      </c>
      <c r="G21" s="6">
        <v>150</v>
      </c>
      <c r="H21" s="29">
        <f t="shared" ref="H21" si="1">SUM(G21:G29)</f>
        <v>4786</v>
      </c>
    </row>
    <row r="22" spans="1:8" ht="33" thickTop="1" thickBot="1" x14ac:dyDescent="0.95">
      <c r="A22" s="7">
        <v>20</v>
      </c>
      <c r="B22" s="10" t="s">
        <v>50</v>
      </c>
      <c r="C22" s="4" t="s">
        <v>47</v>
      </c>
      <c r="D22" s="9"/>
      <c r="E22" s="6" t="s">
        <v>11</v>
      </c>
      <c r="F22" s="10" t="s">
        <v>51</v>
      </c>
      <c r="G22" s="6">
        <v>200</v>
      </c>
      <c r="H22" s="30"/>
    </row>
    <row r="23" spans="1:8" ht="33" thickTop="1" thickBot="1" x14ac:dyDescent="0.95">
      <c r="A23" s="7">
        <v>21</v>
      </c>
      <c r="B23" s="10" t="s">
        <v>52</v>
      </c>
      <c r="C23" s="4" t="s">
        <v>47</v>
      </c>
      <c r="D23" s="9"/>
      <c r="E23" s="6" t="s">
        <v>11</v>
      </c>
      <c r="F23" s="10" t="s">
        <v>53</v>
      </c>
      <c r="G23" s="6">
        <v>501</v>
      </c>
      <c r="H23" s="30"/>
    </row>
    <row r="24" spans="1:8" ht="33" thickTop="1" thickBot="1" x14ac:dyDescent="0.95">
      <c r="A24" s="7">
        <v>22</v>
      </c>
      <c r="B24" s="10" t="s">
        <v>54</v>
      </c>
      <c r="C24" s="11" t="s">
        <v>55</v>
      </c>
      <c r="D24" s="9"/>
      <c r="E24" s="6" t="s">
        <v>11</v>
      </c>
      <c r="F24" s="10" t="s">
        <v>56</v>
      </c>
      <c r="G24" s="6">
        <v>428</v>
      </c>
      <c r="H24" s="30"/>
    </row>
    <row r="25" spans="1:8" ht="33" thickTop="1" thickBot="1" x14ac:dyDescent="0.95">
      <c r="A25" s="7">
        <v>23</v>
      </c>
      <c r="B25" s="10" t="s">
        <v>57</v>
      </c>
      <c r="C25" s="11" t="s">
        <v>55</v>
      </c>
      <c r="D25" s="9"/>
      <c r="E25" s="6" t="s">
        <v>11</v>
      </c>
      <c r="F25" s="10" t="s">
        <v>58</v>
      </c>
      <c r="G25" s="6">
        <v>197</v>
      </c>
      <c r="H25" s="30"/>
    </row>
    <row r="26" spans="1:8" ht="33" thickTop="1" thickBot="1" x14ac:dyDescent="0.95">
      <c r="A26" s="7">
        <v>24</v>
      </c>
      <c r="B26" s="10" t="s">
        <v>59</v>
      </c>
      <c r="C26" s="11" t="s">
        <v>55</v>
      </c>
      <c r="D26" s="9"/>
      <c r="E26" s="6" t="s">
        <v>11</v>
      </c>
      <c r="F26" s="10" t="s">
        <v>60</v>
      </c>
      <c r="G26" s="6">
        <v>2200</v>
      </c>
      <c r="H26" s="30"/>
    </row>
    <row r="27" spans="1:8" ht="33" thickTop="1" thickBot="1" x14ac:dyDescent="0.95">
      <c r="A27" s="7">
        <v>25</v>
      </c>
      <c r="B27" s="10" t="s">
        <v>61</v>
      </c>
      <c r="C27" s="11" t="s">
        <v>62</v>
      </c>
      <c r="D27" s="9"/>
      <c r="E27" s="6" t="s">
        <v>11</v>
      </c>
      <c r="F27" s="10" t="s">
        <v>63</v>
      </c>
      <c r="G27" s="6">
        <v>150</v>
      </c>
      <c r="H27" s="30"/>
    </row>
    <row r="28" spans="1:8" ht="33" thickTop="1" thickBot="1" x14ac:dyDescent="0.95">
      <c r="A28" s="7">
        <v>26</v>
      </c>
      <c r="B28" s="10" t="s">
        <v>64</v>
      </c>
      <c r="C28" s="11" t="s">
        <v>62</v>
      </c>
      <c r="D28" s="9"/>
      <c r="E28" s="6" t="s">
        <v>11</v>
      </c>
      <c r="F28" s="10" t="s">
        <v>65</v>
      </c>
      <c r="G28" s="6">
        <v>250</v>
      </c>
      <c r="H28" s="30"/>
    </row>
    <row r="29" spans="1:8" ht="33" thickTop="1" thickBot="1" x14ac:dyDescent="0.95">
      <c r="A29" s="17">
        <v>27</v>
      </c>
      <c r="B29" s="10" t="s">
        <v>66</v>
      </c>
      <c r="C29" s="11" t="s">
        <v>62</v>
      </c>
      <c r="D29" s="14"/>
      <c r="E29" s="6" t="s">
        <v>11</v>
      </c>
      <c r="F29" s="12" t="s">
        <v>67</v>
      </c>
      <c r="G29" s="6">
        <v>710</v>
      </c>
      <c r="H29" s="31"/>
    </row>
    <row r="30" spans="1:8" ht="33" thickTop="1" thickBot="1" x14ac:dyDescent="0.95">
      <c r="A30" s="18">
        <v>28</v>
      </c>
      <c r="B30" s="10" t="s">
        <v>68</v>
      </c>
      <c r="C30" s="4" t="s">
        <v>69</v>
      </c>
      <c r="D30" s="5" t="s">
        <v>70</v>
      </c>
      <c r="E30" s="6" t="s">
        <v>11</v>
      </c>
      <c r="F30" s="3" t="s">
        <v>71</v>
      </c>
      <c r="G30" s="6">
        <v>205</v>
      </c>
      <c r="H30" s="29">
        <f t="shared" ref="H30" si="2">SUM(G30:G38)</f>
        <v>5440</v>
      </c>
    </row>
    <row r="31" spans="1:8" ht="33" thickTop="1" thickBot="1" x14ac:dyDescent="0.95">
      <c r="A31" s="7">
        <v>29</v>
      </c>
      <c r="B31" s="10" t="s">
        <v>72</v>
      </c>
      <c r="C31" s="4" t="s">
        <v>69</v>
      </c>
      <c r="D31" s="9"/>
      <c r="E31" s="6" t="s">
        <v>11</v>
      </c>
      <c r="F31" s="10" t="s">
        <v>73</v>
      </c>
      <c r="G31" s="6">
        <v>380</v>
      </c>
      <c r="H31" s="30"/>
    </row>
    <row r="32" spans="1:8" ht="33" thickTop="1" thickBot="1" x14ac:dyDescent="0.95">
      <c r="A32" s="7">
        <v>30</v>
      </c>
      <c r="B32" s="10" t="s">
        <v>74</v>
      </c>
      <c r="C32" s="4" t="s">
        <v>69</v>
      </c>
      <c r="D32" s="9"/>
      <c r="E32" s="6" t="s">
        <v>11</v>
      </c>
      <c r="F32" s="10" t="s">
        <v>75</v>
      </c>
      <c r="G32" s="6">
        <v>1050</v>
      </c>
      <c r="H32" s="30"/>
    </row>
    <row r="33" spans="1:8" ht="33" thickTop="1" thickBot="1" x14ac:dyDescent="0.95">
      <c r="A33" s="7">
        <v>31</v>
      </c>
      <c r="B33" s="10" t="s">
        <v>76</v>
      </c>
      <c r="C33" s="11" t="s">
        <v>77</v>
      </c>
      <c r="D33" s="9"/>
      <c r="E33" s="6" t="s">
        <v>11</v>
      </c>
      <c r="F33" s="10" t="s">
        <v>78</v>
      </c>
      <c r="G33" s="6">
        <v>250</v>
      </c>
      <c r="H33" s="30"/>
    </row>
    <row r="34" spans="1:8" ht="33" thickTop="1" thickBot="1" x14ac:dyDescent="0.95">
      <c r="A34" s="7">
        <v>32</v>
      </c>
      <c r="B34" s="10" t="s">
        <v>79</v>
      </c>
      <c r="C34" s="11" t="s">
        <v>77</v>
      </c>
      <c r="D34" s="9"/>
      <c r="E34" s="6" t="s">
        <v>11</v>
      </c>
      <c r="F34" s="10" t="s">
        <v>80</v>
      </c>
      <c r="G34" s="6">
        <v>200</v>
      </c>
      <c r="H34" s="30"/>
    </row>
    <row r="35" spans="1:8" ht="33" thickTop="1" thickBot="1" x14ac:dyDescent="0.95">
      <c r="A35" s="7">
        <v>33</v>
      </c>
      <c r="B35" s="10" t="s">
        <v>81</v>
      </c>
      <c r="C35" s="11" t="s">
        <v>77</v>
      </c>
      <c r="D35" s="9"/>
      <c r="E35" s="6" t="s">
        <v>11</v>
      </c>
      <c r="F35" s="10" t="s">
        <v>82</v>
      </c>
      <c r="G35" s="6">
        <v>2175</v>
      </c>
      <c r="H35" s="30"/>
    </row>
    <row r="36" spans="1:8" ht="33" thickTop="1" thickBot="1" x14ac:dyDescent="0.95">
      <c r="A36" s="7">
        <v>34</v>
      </c>
      <c r="B36" s="10" t="s">
        <v>83</v>
      </c>
      <c r="C36" s="11" t="s">
        <v>84</v>
      </c>
      <c r="D36" s="9"/>
      <c r="E36" s="6" t="s">
        <v>11</v>
      </c>
      <c r="F36" s="10" t="s">
        <v>85</v>
      </c>
      <c r="G36" s="6">
        <v>380</v>
      </c>
      <c r="H36" s="30"/>
    </row>
    <row r="37" spans="1:8" ht="33" thickTop="1" thickBot="1" x14ac:dyDescent="0.95">
      <c r="A37" s="7">
        <v>35</v>
      </c>
      <c r="B37" s="10" t="s">
        <v>86</v>
      </c>
      <c r="C37" s="11" t="s">
        <v>84</v>
      </c>
      <c r="D37" s="9"/>
      <c r="E37" s="6" t="s">
        <v>11</v>
      </c>
      <c r="F37" s="10" t="s">
        <v>87</v>
      </c>
      <c r="G37" s="6">
        <v>200</v>
      </c>
      <c r="H37" s="30"/>
    </row>
    <row r="38" spans="1:8" ht="33" thickTop="1" thickBot="1" x14ac:dyDescent="0.95">
      <c r="A38" s="17">
        <v>36</v>
      </c>
      <c r="B38" s="10" t="s">
        <v>88</v>
      </c>
      <c r="C38" s="11" t="s">
        <v>84</v>
      </c>
      <c r="D38" s="14"/>
      <c r="E38" s="6" t="s">
        <v>11</v>
      </c>
      <c r="F38" s="12" t="s">
        <v>89</v>
      </c>
      <c r="G38" s="6">
        <v>600</v>
      </c>
      <c r="H38" s="31"/>
    </row>
    <row r="39" spans="1:8" ht="33" thickTop="1" thickBot="1" x14ac:dyDescent="0.95">
      <c r="A39" s="18">
        <v>37</v>
      </c>
      <c r="B39" s="3" t="s">
        <v>57</v>
      </c>
      <c r="C39" s="4" t="s">
        <v>90</v>
      </c>
      <c r="D39" s="5" t="s">
        <v>91</v>
      </c>
      <c r="E39" s="6" t="s">
        <v>11</v>
      </c>
      <c r="F39" s="3" t="s">
        <v>92</v>
      </c>
      <c r="G39" s="6">
        <v>240</v>
      </c>
      <c r="H39" s="29">
        <f t="shared" ref="H39" si="3">SUM(G39:G47)</f>
        <v>4072</v>
      </c>
    </row>
    <row r="40" spans="1:8" ht="33" thickTop="1" thickBot="1" x14ac:dyDescent="0.95">
      <c r="A40" s="7">
        <v>38</v>
      </c>
      <c r="B40" s="10" t="s">
        <v>22</v>
      </c>
      <c r="C40" s="4" t="s">
        <v>90</v>
      </c>
      <c r="D40" s="9"/>
      <c r="E40" s="6" t="s">
        <v>11</v>
      </c>
      <c r="F40" s="10" t="s">
        <v>93</v>
      </c>
      <c r="G40" s="6">
        <v>200</v>
      </c>
      <c r="H40" s="30"/>
    </row>
    <row r="41" spans="1:8" ht="33" thickTop="1" thickBot="1" x14ac:dyDescent="0.95">
      <c r="A41" s="7">
        <v>39</v>
      </c>
      <c r="B41" s="10" t="s">
        <v>15</v>
      </c>
      <c r="C41" s="4" t="s">
        <v>90</v>
      </c>
      <c r="D41" s="9"/>
      <c r="E41" s="6" t="s">
        <v>11</v>
      </c>
      <c r="F41" s="10" t="s">
        <v>94</v>
      </c>
      <c r="G41" s="6">
        <v>1165</v>
      </c>
      <c r="H41" s="30"/>
    </row>
    <row r="42" spans="1:8" ht="33" thickTop="1" thickBot="1" x14ac:dyDescent="0.95">
      <c r="A42" s="7">
        <v>40</v>
      </c>
      <c r="B42" s="10" t="s">
        <v>13</v>
      </c>
      <c r="C42" s="19" t="s">
        <v>95</v>
      </c>
      <c r="D42" s="9"/>
      <c r="E42" s="6" t="s">
        <v>11</v>
      </c>
      <c r="F42" s="20" t="s">
        <v>96</v>
      </c>
      <c r="G42" s="6">
        <v>732</v>
      </c>
      <c r="H42" s="30"/>
    </row>
    <row r="43" spans="1:8" ht="33" thickTop="1" thickBot="1" x14ac:dyDescent="0.95">
      <c r="A43" s="7">
        <v>41</v>
      </c>
      <c r="B43" s="10" t="s">
        <v>27</v>
      </c>
      <c r="C43" s="19" t="s">
        <v>95</v>
      </c>
      <c r="D43" s="9"/>
      <c r="E43" s="6" t="s">
        <v>11</v>
      </c>
      <c r="F43" s="20" t="s">
        <v>97</v>
      </c>
      <c r="G43" s="6">
        <v>120</v>
      </c>
      <c r="H43" s="30"/>
    </row>
    <row r="44" spans="1:8" ht="33" thickTop="1" thickBot="1" x14ac:dyDescent="0.95">
      <c r="A44" s="7">
        <v>42</v>
      </c>
      <c r="B44" s="10" t="s">
        <v>98</v>
      </c>
      <c r="C44" s="19" t="s">
        <v>95</v>
      </c>
      <c r="D44" s="9"/>
      <c r="E44" s="6" t="s">
        <v>11</v>
      </c>
      <c r="F44" s="20" t="s">
        <v>99</v>
      </c>
      <c r="G44" s="6">
        <v>710</v>
      </c>
      <c r="H44" s="30"/>
    </row>
    <row r="45" spans="1:8" ht="33" thickTop="1" thickBot="1" x14ac:dyDescent="0.95">
      <c r="A45" s="7">
        <v>43</v>
      </c>
      <c r="B45" s="10" t="s">
        <v>100</v>
      </c>
      <c r="C45" s="19" t="s">
        <v>101</v>
      </c>
      <c r="D45" s="9"/>
      <c r="E45" s="6" t="s">
        <v>11</v>
      </c>
      <c r="F45" s="20" t="s">
        <v>102</v>
      </c>
      <c r="G45" s="6">
        <v>205</v>
      </c>
      <c r="H45" s="30"/>
    </row>
    <row r="46" spans="1:8" ht="33" thickTop="1" thickBot="1" x14ac:dyDescent="0.95">
      <c r="A46" s="7">
        <v>44</v>
      </c>
      <c r="B46" s="10" t="s">
        <v>22</v>
      </c>
      <c r="C46" s="19" t="s">
        <v>101</v>
      </c>
      <c r="D46" s="9"/>
      <c r="E46" s="6" t="s">
        <v>11</v>
      </c>
      <c r="F46" s="20" t="s">
        <v>103</v>
      </c>
      <c r="G46" s="6">
        <v>200</v>
      </c>
      <c r="H46" s="30"/>
    </row>
    <row r="47" spans="1:8" ht="33" thickTop="1" thickBot="1" x14ac:dyDescent="0.95">
      <c r="A47" s="17">
        <v>45</v>
      </c>
      <c r="B47" s="12" t="s">
        <v>104</v>
      </c>
      <c r="C47" s="19" t="s">
        <v>101</v>
      </c>
      <c r="D47" s="14"/>
      <c r="E47" s="6" t="s">
        <v>11</v>
      </c>
      <c r="F47" s="21" t="s">
        <v>105</v>
      </c>
      <c r="G47" s="6">
        <v>500</v>
      </c>
      <c r="H47" s="31"/>
    </row>
    <row r="48" spans="1:8" ht="33" thickTop="1" thickBot="1" x14ac:dyDescent="0.95">
      <c r="A48" s="18">
        <v>46</v>
      </c>
      <c r="B48" s="3" t="s">
        <v>106</v>
      </c>
      <c r="C48" s="22" t="s">
        <v>107</v>
      </c>
      <c r="D48" s="5" t="s">
        <v>108</v>
      </c>
      <c r="E48" s="6" t="s">
        <v>11</v>
      </c>
      <c r="F48" s="23" t="s">
        <v>109</v>
      </c>
      <c r="G48" s="6">
        <v>390</v>
      </c>
      <c r="H48" s="29">
        <f t="shared" ref="H48" si="4">SUM(G48:G56)</f>
        <v>5356</v>
      </c>
    </row>
    <row r="49" spans="1:8" ht="33" thickTop="1" thickBot="1" x14ac:dyDescent="0.95">
      <c r="A49" s="7">
        <v>47</v>
      </c>
      <c r="B49" s="10" t="s">
        <v>57</v>
      </c>
      <c r="C49" s="22" t="s">
        <v>107</v>
      </c>
      <c r="D49" s="9"/>
      <c r="E49" s="6" t="s">
        <v>11</v>
      </c>
      <c r="F49" s="20" t="s">
        <v>110</v>
      </c>
      <c r="G49" s="6">
        <v>183</v>
      </c>
      <c r="H49" s="30"/>
    </row>
    <row r="50" spans="1:8" ht="33" thickTop="1" thickBot="1" x14ac:dyDescent="0.95">
      <c r="A50" s="7">
        <v>48</v>
      </c>
      <c r="B50" s="10" t="s">
        <v>22</v>
      </c>
      <c r="C50" s="22" t="s">
        <v>107</v>
      </c>
      <c r="D50" s="9"/>
      <c r="E50" s="6" t="s">
        <v>11</v>
      </c>
      <c r="F50" s="20" t="s">
        <v>111</v>
      </c>
      <c r="G50" s="6">
        <v>250</v>
      </c>
      <c r="H50" s="30"/>
    </row>
    <row r="51" spans="1:8" ht="33" thickTop="1" thickBot="1" x14ac:dyDescent="0.95">
      <c r="A51" s="7">
        <v>49</v>
      </c>
      <c r="B51" s="10" t="s">
        <v>112</v>
      </c>
      <c r="C51" s="22" t="s">
        <v>113</v>
      </c>
      <c r="D51" s="9"/>
      <c r="E51" s="6" t="s">
        <v>11</v>
      </c>
      <c r="F51" s="20" t="s">
        <v>114</v>
      </c>
      <c r="G51" s="6">
        <v>600</v>
      </c>
      <c r="H51" s="30"/>
    </row>
    <row r="52" spans="1:8" ht="33" thickTop="1" thickBot="1" x14ac:dyDescent="0.95">
      <c r="A52" s="7">
        <v>50</v>
      </c>
      <c r="B52" s="10" t="s">
        <v>115</v>
      </c>
      <c r="C52" s="22" t="s">
        <v>113</v>
      </c>
      <c r="D52" s="9"/>
      <c r="E52" s="6" t="s">
        <v>11</v>
      </c>
      <c r="F52" s="20" t="s">
        <v>116</v>
      </c>
      <c r="G52" s="6">
        <v>500</v>
      </c>
      <c r="H52" s="30"/>
    </row>
    <row r="53" spans="1:8" ht="33" thickTop="1" thickBot="1" x14ac:dyDescent="0.95">
      <c r="A53" s="7">
        <v>51</v>
      </c>
      <c r="B53" s="10" t="s">
        <v>15</v>
      </c>
      <c r="C53" s="22" t="s">
        <v>113</v>
      </c>
      <c r="D53" s="9"/>
      <c r="E53" s="6" t="s">
        <v>11</v>
      </c>
      <c r="F53" s="20" t="s">
        <v>117</v>
      </c>
      <c r="G53" s="6">
        <v>2155</v>
      </c>
      <c r="H53" s="30"/>
    </row>
    <row r="54" spans="1:8" ht="33" thickTop="1" thickBot="1" x14ac:dyDescent="0.95">
      <c r="A54" s="7">
        <v>52</v>
      </c>
      <c r="B54" s="10" t="s">
        <v>68</v>
      </c>
      <c r="C54" s="19" t="s">
        <v>118</v>
      </c>
      <c r="D54" s="9"/>
      <c r="E54" s="6" t="s">
        <v>11</v>
      </c>
      <c r="F54" s="20" t="s">
        <v>119</v>
      </c>
      <c r="G54" s="6">
        <v>438</v>
      </c>
      <c r="H54" s="30"/>
    </row>
    <row r="55" spans="1:8" ht="33" thickTop="1" thickBot="1" x14ac:dyDescent="0.95">
      <c r="A55" s="7">
        <v>53</v>
      </c>
      <c r="B55" s="10" t="s">
        <v>120</v>
      </c>
      <c r="C55" s="19" t="s">
        <v>118</v>
      </c>
      <c r="D55" s="9"/>
      <c r="E55" s="6" t="s">
        <v>11</v>
      </c>
      <c r="F55" s="20" t="s">
        <v>121</v>
      </c>
      <c r="G55" s="6">
        <v>390</v>
      </c>
      <c r="H55" s="30"/>
    </row>
    <row r="56" spans="1:8" ht="33" thickTop="1" thickBot="1" x14ac:dyDescent="0.95">
      <c r="A56" s="17">
        <v>54</v>
      </c>
      <c r="B56" s="12" t="s">
        <v>22</v>
      </c>
      <c r="C56" s="19" t="s">
        <v>118</v>
      </c>
      <c r="D56" s="14"/>
      <c r="E56" s="6" t="s">
        <v>11</v>
      </c>
      <c r="F56" s="21" t="s">
        <v>122</v>
      </c>
      <c r="G56" s="6">
        <v>450</v>
      </c>
      <c r="H56" s="31"/>
    </row>
    <row r="57" spans="1:8" ht="33" thickTop="1" thickBot="1" x14ac:dyDescent="0.95">
      <c r="A57" s="18">
        <v>55</v>
      </c>
      <c r="B57" s="3" t="s">
        <v>123</v>
      </c>
      <c r="C57" s="22" t="s">
        <v>124</v>
      </c>
      <c r="D57" s="5" t="s">
        <v>125</v>
      </c>
      <c r="E57" s="6" t="s">
        <v>11</v>
      </c>
      <c r="F57" s="23" t="s">
        <v>126</v>
      </c>
      <c r="G57" s="6">
        <v>130</v>
      </c>
      <c r="H57" s="29">
        <f t="shared" ref="H57" si="5">SUM(G57:G65)</f>
        <v>4332</v>
      </c>
    </row>
    <row r="58" spans="1:8" ht="33" thickTop="1" thickBot="1" x14ac:dyDescent="0.95">
      <c r="A58" s="7">
        <v>56</v>
      </c>
      <c r="B58" s="10" t="s">
        <v>127</v>
      </c>
      <c r="C58" s="22" t="s">
        <v>128</v>
      </c>
      <c r="D58" s="9"/>
      <c r="E58" s="6" t="s">
        <v>11</v>
      </c>
      <c r="F58" s="20" t="s">
        <v>129</v>
      </c>
      <c r="G58" s="6">
        <v>900</v>
      </c>
      <c r="H58" s="30"/>
    </row>
    <row r="59" spans="1:8" ht="33" thickTop="1" thickBot="1" x14ac:dyDescent="0.95">
      <c r="A59" s="7">
        <v>57</v>
      </c>
      <c r="B59" s="10" t="s">
        <v>22</v>
      </c>
      <c r="C59" s="22" t="s">
        <v>130</v>
      </c>
      <c r="D59" s="9"/>
      <c r="E59" s="6" t="s">
        <v>11</v>
      </c>
      <c r="F59" s="20" t="s">
        <v>131</v>
      </c>
      <c r="G59" s="6">
        <v>200</v>
      </c>
      <c r="H59" s="30"/>
    </row>
    <row r="60" spans="1:8" ht="33" thickTop="1" thickBot="1" x14ac:dyDescent="0.95">
      <c r="A60" s="7">
        <v>58</v>
      </c>
      <c r="B60" s="10" t="s">
        <v>132</v>
      </c>
      <c r="C60" s="19" t="s">
        <v>133</v>
      </c>
      <c r="D60" s="9"/>
      <c r="E60" s="6" t="s">
        <v>11</v>
      </c>
      <c r="F60" s="20" t="s">
        <v>134</v>
      </c>
      <c r="G60" s="6">
        <v>130</v>
      </c>
      <c r="H60" s="30"/>
    </row>
    <row r="61" spans="1:8" ht="33" thickTop="1" thickBot="1" x14ac:dyDescent="0.95">
      <c r="A61" s="7">
        <v>59</v>
      </c>
      <c r="B61" s="10" t="s">
        <v>17</v>
      </c>
      <c r="C61" s="19" t="s">
        <v>135</v>
      </c>
      <c r="D61" s="9"/>
      <c r="E61" s="6" t="s">
        <v>11</v>
      </c>
      <c r="F61" s="20" t="s">
        <v>136</v>
      </c>
      <c r="G61" s="6">
        <v>1050</v>
      </c>
      <c r="H61" s="30"/>
    </row>
    <row r="62" spans="1:8" ht="33" thickTop="1" thickBot="1" x14ac:dyDescent="0.95">
      <c r="A62" s="7">
        <v>60</v>
      </c>
      <c r="B62" s="10" t="s">
        <v>13</v>
      </c>
      <c r="C62" s="19" t="s">
        <v>137</v>
      </c>
      <c r="D62" s="9"/>
      <c r="E62" s="6" t="s">
        <v>11</v>
      </c>
      <c r="F62" s="20" t="s">
        <v>138</v>
      </c>
      <c r="G62" s="6">
        <v>400</v>
      </c>
      <c r="H62" s="30"/>
    </row>
    <row r="63" spans="1:8" ht="33" thickTop="1" thickBot="1" x14ac:dyDescent="0.95">
      <c r="A63" s="7">
        <v>61</v>
      </c>
      <c r="B63" s="10" t="s">
        <v>22</v>
      </c>
      <c r="C63" s="19">
        <v>45668</v>
      </c>
      <c r="D63" s="9"/>
      <c r="E63" s="6" t="s">
        <v>11</v>
      </c>
      <c r="F63" s="20" t="s">
        <v>139</v>
      </c>
      <c r="G63" s="6">
        <v>200</v>
      </c>
      <c r="H63" s="30"/>
    </row>
    <row r="64" spans="1:8" ht="33" thickTop="1" thickBot="1" x14ac:dyDescent="0.95">
      <c r="A64" s="7">
        <v>62</v>
      </c>
      <c r="B64" s="10" t="s">
        <v>30</v>
      </c>
      <c r="C64" s="19">
        <v>45668</v>
      </c>
      <c r="D64" s="9"/>
      <c r="E64" s="6" t="s">
        <v>11</v>
      </c>
      <c r="F64" s="20" t="s">
        <v>140</v>
      </c>
      <c r="G64" s="6">
        <v>612</v>
      </c>
      <c r="H64" s="30"/>
    </row>
    <row r="65" spans="1:8" ht="33" thickTop="1" thickBot="1" x14ac:dyDescent="0.95">
      <c r="A65" s="17">
        <v>63</v>
      </c>
      <c r="B65" s="12" t="s">
        <v>141</v>
      </c>
      <c r="C65" s="19">
        <v>45668</v>
      </c>
      <c r="D65" s="14"/>
      <c r="E65" s="6" t="s">
        <v>11</v>
      </c>
      <c r="F65" s="21" t="s">
        <v>142</v>
      </c>
      <c r="G65" s="6">
        <v>710</v>
      </c>
      <c r="H65" s="31"/>
    </row>
    <row r="66" spans="1:8" ht="33" thickTop="1" thickBot="1" x14ac:dyDescent="0.95">
      <c r="A66" s="2">
        <v>64</v>
      </c>
      <c r="B66" s="15" t="s">
        <v>22</v>
      </c>
      <c r="C66" s="24">
        <v>45818</v>
      </c>
      <c r="D66" s="9" t="s">
        <v>143</v>
      </c>
      <c r="E66" s="6" t="s">
        <v>11</v>
      </c>
      <c r="F66" s="25" t="s">
        <v>144</v>
      </c>
      <c r="G66" s="6">
        <v>200</v>
      </c>
      <c r="H66" s="29">
        <f t="shared" ref="H66" si="6">SUM(G66:G74)</f>
        <v>5254</v>
      </c>
    </row>
    <row r="67" spans="1:8" ht="33" thickTop="1" thickBot="1" x14ac:dyDescent="0.95">
      <c r="A67" s="7">
        <v>65</v>
      </c>
      <c r="B67" s="10" t="s">
        <v>145</v>
      </c>
      <c r="C67" s="24">
        <v>45819</v>
      </c>
      <c r="D67" s="9"/>
      <c r="E67" s="6" t="s">
        <v>11</v>
      </c>
      <c r="F67" s="20" t="s">
        <v>146</v>
      </c>
      <c r="G67" s="6">
        <v>424</v>
      </c>
      <c r="H67" s="30"/>
    </row>
    <row r="68" spans="1:8" ht="33" thickTop="1" thickBot="1" x14ac:dyDescent="0.95">
      <c r="A68" s="7">
        <v>66</v>
      </c>
      <c r="B68" s="10" t="s">
        <v>147</v>
      </c>
      <c r="C68" s="24">
        <v>45819</v>
      </c>
      <c r="D68" s="9"/>
      <c r="E68" s="6" t="s">
        <v>11</v>
      </c>
      <c r="F68" s="20" t="s">
        <v>148</v>
      </c>
      <c r="G68" s="6">
        <v>390</v>
      </c>
      <c r="H68" s="30"/>
    </row>
    <row r="69" spans="1:8" ht="33" thickTop="1" thickBot="1" x14ac:dyDescent="0.95">
      <c r="A69" s="7">
        <v>67</v>
      </c>
      <c r="B69" s="10" t="s">
        <v>57</v>
      </c>
      <c r="C69" s="19">
        <v>45849</v>
      </c>
      <c r="D69" s="9"/>
      <c r="E69" s="6" t="s">
        <v>11</v>
      </c>
      <c r="F69" s="20" t="s">
        <v>149</v>
      </c>
      <c r="G69" s="6">
        <v>200</v>
      </c>
      <c r="H69" s="30"/>
    </row>
    <row r="70" spans="1:8" ht="33" thickTop="1" thickBot="1" x14ac:dyDescent="0.95">
      <c r="A70" s="7">
        <v>68</v>
      </c>
      <c r="B70" s="10" t="s">
        <v>150</v>
      </c>
      <c r="C70" s="19">
        <v>45849</v>
      </c>
      <c r="D70" s="9"/>
      <c r="E70" s="6" t="s">
        <v>11</v>
      </c>
      <c r="F70" s="20" t="s">
        <v>151</v>
      </c>
      <c r="G70" s="6">
        <v>550</v>
      </c>
      <c r="H70" s="30"/>
    </row>
    <row r="71" spans="1:8" ht="33" thickTop="1" thickBot="1" x14ac:dyDescent="0.95">
      <c r="A71" s="7">
        <v>69</v>
      </c>
      <c r="B71" s="10" t="s">
        <v>22</v>
      </c>
      <c r="C71" s="19">
        <v>45849</v>
      </c>
      <c r="D71" s="9"/>
      <c r="E71" s="6" t="s">
        <v>11</v>
      </c>
      <c r="F71" s="20" t="s">
        <v>152</v>
      </c>
      <c r="G71" s="6">
        <v>450</v>
      </c>
      <c r="H71" s="30"/>
    </row>
    <row r="72" spans="1:8" ht="33" thickTop="1" thickBot="1" x14ac:dyDescent="0.95">
      <c r="A72" s="7">
        <v>70</v>
      </c>
      <c r="B72" s="10" t="s">
        <v>115</v>
      </c>
      <c r="C72" s="19">
        <v>45880</v>
      </c>
      <c r="D72" s="9"/>
      <c r="E72" s="6" t="s">
        <v>11</v>
      </c>
      <c r="F72" s="20" t="s">
        <v>153</v>
      </c>
      <c r="G72" s="6">
        <v>500</v>
      </c>
      <c r="H72" s="30"/>
    </row>
    <row r="73" spans="1:8" ht="33" thickTop="1" thickBot="1" x14ac:dyDescent="0.95">
      <c r="A73" s="7">
        <v>71</v>
      </c>
      <c r="B73" s="10" t="s">
        <v>147</v>
      </c>
      <c r="C73" s="19">
        <v>45880</v>
      </c>
      <c r="D73" s="9"/>
      <c r="E73" s="6" t="s">
        <v>11</v>
      </c>
      <c r="F73" s="20" t="s">
        <v>154</v>
      </c>
      <c r="G73" s="6">
        <v>390</v>
      </c>
      <c r="H73" s="30"/>
    </row>
    <row r="74" spans="1:8" ht="33" thickTop="1" thickBot="1" x14ac:dyDescent="0.95">
      <c r="A74" s="26">
        <v>72</v>
      </c>
      <c r="B74" s="27" t="s">
        <v>35</v>
      </c>
      <c r="C74" s="19">
        <v>45880</v>
      </c>
      <c r="D74" s="9"/>
      <c r="E74" s="6" t="s">
        <v>11</v>
      </c>
      <c r="F74" s="1" t="s">
        <v>155</v>
      </c>
      <c r="G74" s="6">
        <v>2150</v>
      </c>
      <c r="H74" s="31"/>
    </row>
    <row r="75" spans="1:8" ht="33" thickTop="1" thickBot="1" x14ac:dyDescent="0.95">
      <c r="A75" s="18">
        <v>73</v>
      </c>
      <c r="B75" s="3" t="s">
        <v>127</v>
      </c>
      <c r="C75" s="22" t="s">
        <v>156</v>
      </c>
      <c r="D75" s="5" t="s">
        <v>157</v>
      </c>
      <c r="E75" s="6" t="s">
        <v>11</v>
      </c>
      <c r="F75" s="23" t="s">
        <v>158</v>
      </c>
      <c r="G75" s="6">
        <v>902</v>
      </c>
      <c r="H75" s="29">
        <f t="shared" ref="H75" si="7">SUM(G75:G83)</f>
        <v>4902</v>
      </c>
    </row>
    <row r="76" spans="1:8" ht="33" thickTop="1" thickBot="1" x14ac:dyDescent="0.95">
      <c r="A76" s="7">
        <v>74</v>
      </c>
      <c r="B76" s="10" t="s">
        <v>159</v>
      </c>
      <c r="C76" s="22" t="s">
        <v>160</v>
      </c>
      <c r="D76" s="9"/>
      <c r="E76" s="6" t="s">
        <v>11</v>
      </c>
      <c r="F76" s="20" t="s">
        <v>161</v>
      </c>
      <c r="G76" s="6">
        <v>200</v>
      </c>
      <c r="H76" s="30"/>
    </row>
    <row r="77" spans="1:8" ht="33" thickTop="1" thickBot="1" x14ac:dyDescent="0.95">
      <c r="A77" s="7">
        <v>75</v>
      </c>
      <c r="B77" s="10" t="s">
        <v>35</v>
      </c>
      <c r="C77" s="22" t="s">
        <v>162</v>
      </c>
      <c r="D77" s="9"/>
      <c r="E77" s="6" t="s">
        <v>11</v>
      </c>
      <c r="F77" s="20" t="s">
        <v>163</v>
      </c>
      <c r="G77" s="6">
        <v>1213</v>
      </c>
      <c r="H77" s="30"/>
    </row>
    <row r="78" spans="1:8" ht="33" thickTop="1" thickBot="1" x14ac:dyDescent="0.95">
      <c r="A78" s="7">
        <v>76</v>
      </c>
      <c r="B78" s="10" t="s">
        <v>8</v>
      </c>
      <c r="C78" s="19" t="s">
        <v>164</v>
      </c>
      <c r="D78" s="9"/>
      <c r="E78" s="6" t="s">
        <v>11</v>
      </c>
      <c r="F78" s="20" t="s">
        <v>165</v>
      </c>
      <c r="G78" s="6">
        <v>200</v>
      </c>
      <c r="H78" s="30"/>
    </row>
    <row r="79" spans="1:8" ht="33" thickTop="1" thickBot="1" x14ac:dyDescent="0.95">
      <c r="A79" s="7">
        <v>77</v>
      </c>
      <c r="B79" s="10" t="s">
        <v>13</v>
      </c>
      <c r="C79" s="19" t="s">
        <v>164</v>
      </c>
      <c r="D79" s="9"/>
      <c r="E79" s="6" t="s">
        <v>11</v>
      </c>
      <c r="F79" s="20" t="s">
        <v>166</v>
      </c>
      <c r="G79" s="6">
        <v>280</v>
      </c>
      <c r="H79" s="30"/>
    </row>
    <row r="80" spans="1:8" ht="33" thickTop="1" thickBot="1" x14ac:dyDescent="0.95">
      <c r="A80" s="7">
        <v>78</v>
      </c>
      <c r="B80" s="10" t="s">
        <v>17</v>
      </c>
      <c r="C80" s="19" t="s">
        <v>164</v>
      </c>
      <c r="D80" s="9"/>
      <c r="E80" s="6" t="s">
        <v>11</v>
      </c>
      <c r="F80" s="20" t="s">
        <v>167</v>
      </c>
      <c r="G80" s="6">
        <v>950</v>
      </c>
      <c r="H80" s="30"/>
    </row>
    <row r="81" spans="1:8" ht="33" thickTop="1" thickBot="1" x14ac:dyDescent="0.95">
      <c r="A81" s="7">
        <v>79</v>
      </c>
      <c r="B81" s="10" t="s">
        <v>27</v>
      </c>
      <c r="C81" s="19" t="s">
        <v>168</v>
      </c>
      <c r="D81" s="9"/>
      <c r="E81" s="6" t="s">
        <v>11</v>
      </c>
      <c r="F81" s="20" t="s">
        <v>169</v>
      </c>
      <c r="G81" s="6">
        <v>130</v>
      </c>
      <c r="H81" s="30"/>
    </row>
    <row r="82" spans="1:8" ht="33" thickTop="1" thickBot="1" x14ac:dyDescent="0.95">
      <c r="A82" s="7">
        <v>80</v>
      </c>
      <c r="B82" s="10" t="s">
        <v>141</v>
      </c>
      <c r="C82" s="19" t="s">
        <v>168</v>
      </c>
      <c r="D82" s="9"/>
      <c r="E82" s="6" t="s">
        <v>11</v>
      </c>
      <c r="F82" s="20" t="s">
        <v>170</v>
      </c>
      <c r="G82" s="6">
        <v>777</v>
      </c>
      <c r="H82" s="30"/>
    </row>
    <row r="83" spans="1:8" ht="33" thickTop="1" thickBot="1" x14ac:dyDescent="0.95">
      <c r="A83" s="17">
        <v>81</v>
      </c>
      <c r="B83" s="12" t="s">
        <v>171</v>
      </c>
      <c r="C83" s="28" t="s">
        <v>168</v>
      </c>
      <c r="D83" s="14"/>
      <c r="E83" s="6" t="s">
        <v>11</v>
      </c>
      <c r="F83" s="21" t="s">
        <v>172</v>
      </c>
      <c r="G83" s="6">
        <v>250</v>
      </c>
      <c r="H83" s="31"/>
    </row>
    <row r="84" spans="1:8" ht="15" thickTop="1" x14ac:dyDescent="0.35"/>
  </sheetData>
  <mergeCells count="19">
    <mergeCell ref="D57:D65"/>
    <mergeCell ref="H57:H65"/>
    <mergeCell ref="D66:D74"/>
    <mergeCell ref="H66:H74"/>
    <mergeCell ref="D75:D83"/>
    <mergeCell ref="H75:H83"/>
    <mergeCell ref="D30:D38"/>
    <mergeCell ref="H30:H38"/>
    <mergeCell ref="D39:D47"/>
    <mergeCell ref="H39:H47"/>
    <mergeCell ref="D48:D56"/>
    <mergeCell ref="H48:H56"/>
    <mergeCell ref="A1:H1"/>
    <mergeCell ref="D3:D11"/>
    <mergeCell ref="H3:H11"/>
    <mergeCell ref="D12:D20"/>
    <mergeCell ref="H12:H20"/>
    <mergeCell ref="D21:D29"/>
    <mergeCell ref="H21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دوري روشن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Budur M. Alqahtani</dc:creator>
  <cp:lastModifiedBy>Budur M. Alqahtani</cp:lastModifiedBy>
  <dcterms:created xsi:type="dcterms:W3CDTF">2025-11-25T12:20:13Z</dcterms:created>
  <dcterms:modified xsi:type="dcterms:W3CDTF">2025-11-25T12:34:27Z</dcterms:modified>
</cp:coreProperties>
</file>